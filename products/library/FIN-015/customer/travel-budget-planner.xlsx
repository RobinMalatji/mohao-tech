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p" state="visible" r:id="rId4"/>
  </sheets>
  <calcPr calcId="171027"/>
</workbook>
</file>

<file path=xl/sharedStrings.xml><?xml version="1.0" encoding="utf-8"?>
<sst xmlns="http://schemas.openxmlformats.org/spreadsheetml/2006/main" count="29" uniqueCount="29">
  <si>
    <t>Input</t>
  </si>
  <si>
    <t>Value</t>
  </si>
  <si>
    <t>Note</t>
  </si>
  <si>
    <t>Travellers</t>
  </si>
  <si>
    <t>People sharing this budget</t>
  </si>
  <si>
    <t>Nights</t>
  </si>
  <si>
    <t>Accommodation nights</t>
  </si>
  <si>
    <t>Nightly stay</t>
  </si>
  <si>
    <t>Room rate for the whole room</t>
  </si>
  <si>
    <t>Food per person per day</t>
  </si>
  <si>
    <t>Sample, not a restaurant guide</t>
  </si>
  <si>
    <t>Flights or fuel</t>
  </si>
  <si>
    <t>Return transport for everyone</t>
  </si>
  <si>
    <t>Activities</t>
  </si>
  <si>
    <t>One booked outing</t>
  </si>
  <si>
    <t>Contingency share</t>
  </si>
  <si>
    <t>Ten percent of the subtotal</t>
  </si>
  <si>
    <t>Stay total</t>
  </si>
  <si>
    <t>Nights times nightly rate</t>
  </si>
  <si>
    <t>Food total</t>
  </si>
  <si>
    <t>Days are nights plus one</t>
  </si>
  <si>
    <t>Subtotal</t>
  </si>
  <si>
    <t>Before contingency</t>
  </si>
  <si>
    <t>Contingency</t>
  </si>
  <si>
    <t>Reserved, not spent</t>
  </si>
  <si>
    <t>Trip total</t>
  </si>
  <si>
    <t>Subtotal plus contingency</t>
  </si>
  <si>
    <t>Per person</t>
  </si>
  <si>
    <t>Trip total divided by travellers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</si>
</sst>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2</v>
      </c>
      <c r="C2" s="2" t="s">
        <v>4</v>
      </c>
    </row>
    <row r="3" spans="1:3" x14ac:dyDescent="0.25">
      <c r="A3" s="2" t="s">
        <v>5</v>
      </c>
      <c r="B3" s="3">
        <v>4</v>
      </c>
      <c r="C3" s="2" t="s">
        <v>6</v>
      </c>
    </row>
    <row r="4" spans="1:3" x14ac:dyDescent="0.25">
      <c r="A4" s="2" t="s">
        <v>7</v>
      </c>
      <c r="B4" s="3">
        <v>1600</v>
      </c>
      <c r="C4" s="2" t="s">
        <v>8</v>
      </c>
    </row>
    <row r="5" spans="1:3" x14ac:dyDescent="0.25">
      <c r="A5" s="2" t="s">
        <v>9</v>
      </c>
      <c r="B5" s="3">
        <v>300</v>
      </c>
      <c r="C5" s="2" t="s">
        <v>10</v>
      </c>
    </row>
    <row r="6" spans="1:3" x14ac:dyDescent="0.25">
      <c r="A6" s="2" t="s">
        <v>11</v>
      </c>
      <c r="B6" s="3">
        <v>3600</v>
      </c>
      <c r="C6" s="2" t="s">
        <v>12</v>
      </c>
    </row>
    <row r="7" spans="1:3" x14ac:dyDescent="0.25">
      <c r="A7" s="2" t="s">
        <v>13</v>
      </c>
      <c r="B7" s="3">
        <v>1200</v>
      </c>
      <c r="C7" s="2" t="s">
        <v>14</v>
      </c>
    </row>
    <row r="8" spans="1:3" x14ac:dyDescent="0.25">
      <c r="A8" s="2" t="s">
        <v>15</v>
      </c>
      <c r="B8" s="3">
        <v>0.1</v>
      </c>
      <c r="C8" s="2" t="s">
        <v>16</v>
      </c>
    </row>
    <row r="9" spans="1:3" x14ac:dyDescent="0.25">
      <c r="A9" s="2" t="s">
        <v>17</v>
      </c>
      <c r="B9" s="3">
        <f>B3*B4</f>
        <v>6400</v>
      </c>
      <c r="C9" s="2" t="s">
        <v>18</v>
      </c>
    </row>
    <row r="10" spans="1:3" x14ac:dyDescent="0.25">
      <c r="A10" s="2" t="s">
        <v>19</v>
      </c>
      <c r="B10" s="3">
        <f>B2*(B3+1)*B5</f>
        <v>3000</v>
      </c>
      <c r="C10" s="2" t="s">
        <v>20</v>
      </c>
    </row>
    <row r="11" spans="1:3" x14ac:dyDescent="0.25">
      <c r="A11" s="2" t="s">
        <v>21</v>
      </c>
      <c r="B11" s="3">
        <f>B9+B10+B6+B7</f>
        <v>14200</v>
      </c>
      <c r="C11" s="2" t="s">
        <v>22</v>
      </c>
    </row>
    <row r="12" spans="1:3" x14ac:dyDescent="0.25">
      <c r="A12" s="2" t="s">
        <v>23</v>
      </c>
      <c r="B12" s="3">
        <f>B11*B8</f>
        <v>1420</v>
      </c>
      <c r="C12" s="2" t="s">
        <v>24</v>
      </c>
    </row>
    <row r="13" spans="1:3" x14ac:dyDescent="0.25">
      <c r="A13" s="2" t="s">
        <v>25</v>
      </c>
      <c r="B13" s="3">
        <f>B11+B12</f>
        <v>15620</v>
      </c>
      <c r="C13" s="2" t="s">
        <v>26</v>
      </c>
    </row>
    <row r="14" spans="1:3" x14ac:dyDescent="0.25">
      <c r="A14" s="2" t="s">
        <v>27</v>
      </c>
      <c r="B14" s="3">
        <f>IF(B2=0,0,B13/B2)</f>
        <v>7810</v>
      </c>
      <c r="C14" s="2" t="s">
        <v>28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