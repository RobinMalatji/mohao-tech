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ear" state="visible" r:id="rId4"/>
  </sheets>
  <calcPr calcId="171027"/>
</workbook>
</file>

<file path=xl/sharedStrings.xml><?xml version="1.0" encoding="utf-8"?>
<sst xmlns="http://schemas.openxmlformats.org/spreadsheetml/2006/main" count="25" uniqueCount="23">
  <si>
    <t>Cost</t>
  </si>
  <si>
    <t>Amount</t>
  </si>
  <si>
    <t>Note</t>
  </si>
  <si>
    <t>Monthly rent</t>
  </si>
  <si>
    <t>Current lease</t>
  </si>
  <si>
    <t>Expected annual increase</t>
  </si>
  <si>
    <t>Sample, stored as 0.08</t>
  </si>
  <si>
    <t>Annual rent</t>
  </si>
  <si>
    <t>Before the increase</t>
  </si>
  <si>
    <t>Rent after one increase</t>
  </si>
  <si>
    <t>Applied once, at the next renewal</t>
  </si>
  <si>
    <t>Quoted bond repayment</t>
  </si>
  <si>
    <t>From a written quote, monthly</t>
  </si>
  <si>
    <t>Levies</t>
  </si>
  <si>
    <t>Monthly</t>
  </si>
  <si>
    <t>Municipal rates</t>
  </si>
  <si>
    <t>Building insurance</t>
  </si>
  <si>
    <t>Maintenance reserve</t>
  </si>
  <si>
    <t>Monthly amount you choose to set aside</t>
  </si>
  <si>
    <t>Annual ownership</t>
  </si>
  <si>
    <t>Does not include transfer costs</t>
  </si>
  <si>
    <t>Ownership minus next rent</t>
  </si>
  <si>
    <t>Positive means ownership costs more this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</si>
</sst>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&quot;#,##0.00"/>
  </numFmts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6" customWidth="1"/>
    <col min="3" max="3" width="4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9500</v>
      </c>
      <c r="C2" s="2" t="s">
        <v>4</v>
      </c>
    </row>
    <row r="3" spans="1:3" x14ac:dyDescent="0.25">
      <c r="A3" s="2" t="s">
        <v>5</v>
      </c>
      <c r="B3" s="3">
        <v>0.08</v>
      </c>
      <c r="C3" s="2" t="s">
        <v>6</v>
      </c>
    </row>
    <row r="4" spans="1:3" x14ac:dyDescent="0.25">
      <c r="A4" s="2" t="s">
        <v>7</v>
      </c>
      <c r="B4" s="3">
        <f>B2*12</f>
        <v>114000</v>
      </c>
      <c r="C4" s="2" t="s">
        <v>8</v>
      </c>
    </row>
    <row r="5" spans="1:3" x14ac:dyDescent="0.25">
      <c r="A5" s="2" t="s">
        <v>9</v>
      </c>
      <c r="B5" s="3">
        <f>B4*(1+B3)</f>
        <v>123120.00000000001</v>
      </c>
      <c r="C5" s="2" t="s">
        <v>10</v>
      </c>
    </row>
    <row r="6" spans="1:3" x14ac:dyDescent="0.25">
      <c r="A6" s="2" t="s">
        <v>11</v>
      </c>
      <c r="B6" s="3">
        <v>8200</v>
      </c>
      <c r="C6" s="2" t="s">
        <v>12</v>
      </c>
    </row>
    <row r="7" spans="1:3" x14ac:dyDescent="0.25">
      <c r="A7" s="2" t="s">
        <v>13</v>
      </c>
      <c r="B7" s="3">
        <v>1500</v>
      </c>
      <c r="C7" s="2" t="s">
        <v>14</v>
      </c>
    </row>
    <row r="8" spans="1:3" x14ac:dyDescent="0.25">
      <c r="A8" s="2" t="s">
        <v>15</v>
      </c>
      <c r="B8" s="3">
        <v>900</v>
      </c>
      <c r="C8" s="2" t="s">
        <v>14</v>
      </c>
    </row>
    <row r="9" spans="1:3" x14ac:dyDescent="0.25">
      <c r="A9" s="2" t="s">
        <v>16</v>
      </c>
      <c r="B9" s="3">
        <v>450</v>
      </c>
      <c r="C9" s="2" t="s">
        <v>14</v>
      </c>
    </row>
    <row r="10" spans="1:3" x14ac:dyDescent="0.25">
      <c r="A10" s="2" t="s">
        <v>17</v>
      </c>
      <c r="B10" s="3">
        <v>800</v>
      </c>
      <c r="C10" s="2" t="s">
        <v>18</v>
      </c>
    </row>
    <row r="11" spans="1:3" x14ac:dyDescent="0.25">
      <c r="A11" s="2" t="s">
        <v>19</v>
      </c>
      <c r="B11" s="3">
        <f>(B6+B7+B8+B9+B10)*12</f>
        <v>142200</v>
      </c>
      <c r="C11" s="2" t="s">
        <v>20</v>
      </c>
    </row>
    <row r="12" spans="1:3" x14ac:dyDescent="0.25">
      <c r="A12" s="2" t="s">
        <v>21</v>
      </c>
      <c r="B12" s="3">
        <f>B11-B5</f>
        <v>19079.999999999985</v>
      </c>
      <c r="C12" s="2" t="s">
        <v>22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