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s" state="visible" r:id="rId4"/>
    <sheet sheetId="2" name="Debts" state="visible" r:id="rId5"/>
    <sheet sheetId="3" name="Snapshot" state="visible" r:id="rId6"/>
  </sheets>
  <calcPr calcId="171027"/>
</workbook>
</file>

<file path=xl/sharedStrings.xml><?xml version="1.0" encoding="utf-8"?>
<sst xmlns="http://schemas.openxmlformats.org/spreadsheetml/2006/main" count="31" uniqueCount="27">
  <si>
    <t>Asset</t>
  </si>
  <si>
    <t>Amount</t>
  </si>
  <si>
    <t>Kind</t>
  </si>
  <si>
    <t>Cheque account</t>
  </si>
  <si>
    <t>Cash</t>
  </si>
  <si>
    <t>Savings account</t>
  </si>
  <si>
    <t>Vehicle</t>
  </si>
  <si>
    <t>Other</t>
  </si>
  <si>
    <t>Furniture</t>
  </si>
  <si>
    <t>Debt</t>
  </si>
  <si>
    <t>Balance</t>
  </si>
  <si>
    <t>Note</t>
  </si>
  <si>
    <t>Store card</t>
  </si>
  <si>
    <t>Statement balance</t>
  </si>
  <si>
    <t>Personal loan</t>
  </si>
  <si>
    <t>Settlement would differ</t>
  </si>
  <si>
    <t>Metric</t>
  </si>
  <si>
    <t>Cash assets</t>
  </si>
  <si>
    <t>Reachable soon</t>
  </si>
  <si>
    <t>Other assets</t>
  </si>
  <si>
    <t>Not the same as cash</t>
  </si>
  <si>
    <t>Total assets</t>
  </si>
  <si>
    <t>Cash plus other</t>
  </si>
  <si>
    <t>Total debts</t>
  </si>
  <si>
    <t>Balances, not instalments</t>
  </si>
  <si>
    <t>Net worth</t>
  </si>
  <si>
    <t>Assets minus debts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</si>
</sst>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2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6500</v>
      </c>
      <c r="C2" s="2" t="s">
        <v>4</v>
      </c>
    </row>
    <row r="3" spans="1:3" x14ac:dyDescent="0.25">
      <c r="A3" s="2" t="s">
        <v>5</v>
      </c>
      <c r="B3" s="3">
        <v>8000</v>
      </c>
      <c r="C3" s="2" t="s">
        <v>4</v>
      </c>
    </row>
    <row r="4" spans="1:3" x14ac:dyDescent="0.25">
      <c r="A4" s="2" t="s">
        <v>6</v>
      </c>
      <c r="B4" s="3">
        <v>70000</v>
      </c>
      <c r="C4" s="2" t="s">
        <v>7</v>
      </c>
    </row>
    <row r="5" spans="1:3" x14ac:dyDescent="0.25">
      <c r="A5" s="2" t="s">
        <v>8</v>
      </c>
      <c r="B5" s="3">
        <v>2000</v>
      </c>
      <c r="C5" s="2" t="s">
        <v>7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36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s="2" t="s">
        <v>12</v>
      </c>
      <c r="B2" s="3">
        <v>8500</v>
      </c>
      <c r="C2" s="2" t="s">
        <v>13</v>
      </c>
    </row>
    <row r="3" spans="1:3" x14ac:dyDescent="0.25">
      <c r="A3" s="2" t="s">
        <v>14</v>
      </c>
      <c r="B3" s="3">
        <v>28000</v>
      </c>
      <c r="C3" s="2" t="s">
        <v>15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36" customWidth="1"/>
  </cols>
  <sheetData>
    <row r="1" spans="1:3" x14ac:dyDescent="0.25">
      <c r="A1" s="1" t="s">
        <v>16</v>
      </c>
      <c r="B1" s="1" t="s">
        <v>1</v>
      </c>
      <c r="C1" s="1" t="s">
        <v>11</v>
      </c>
    </row>
    <row r="2" spans="1:3" x14ac:dyDescent="0.25">
      <c r="A2" s="2" t="s">
        <v>17</v>
      </c>
      <c r="B2" s="3">
        <f>SUMIF(Assets!C2:C5,"Cash",Assets!B2:B5)</f>
        <v>14500</v>
      </c>
      <c r="C2" s="2" t="s">
        <v>18</v>
      </c>
    </row>
    <row r="3" spans="1:3" x14ac:dyDescent="0.25">
      <c r="A3" s="2" t="s">
        <v>19</v>
      </c>
      <c r="B3" s="3">
        <f>SUMIF(Assets!C2:C5,"Other",Assets!B2:B5)</f>
        <v>72000</v>
      </c>
      <c r="C3" s="2" t="s">
        <v>20</v>
      </c>
    </row>
    <row r="4" spans="1:3" x14ac:dyDescent="0.25">
      <c r="A4" s="2" t="s">
        <v>21</v>
      </c>
      <c r="B4" s="3">
        <f>SUM(Assets!B2:B5)</f>
        <v>86500</v>
      </c>
      <c r="C4" s="2" t="s">
        <v>22</v>
      </c>
    </row>
    <row r="5" spans="1:3" x14ac:dyDescent="0.25">
      <c r="A5" s="2" t="s">
        <v>23</v>
      </c>
      <c r="B5" s="3">
        <f>SUM(Debts!B2:B3)</f>
        <v>36500</v>
      </c>
      <c r="C5" s="2" t="s">
        <v>24</v>
      </c>
    </row>
    <row r="6" spans="1:3" x14ac:dyDescent="0.25">
      <c r="A6" s="2" t="s">
        <v>25</v>
      </c>
      <c r="B6" s="3">
        <f>B4-B5</f>
        <v>50000</v>
      </c>
      <c r="C6" s="2" t="s">
        <v>26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Debts</vt:lpstr>
      <vt:lpstr>Snapshot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