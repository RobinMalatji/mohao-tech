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s" state="visible" r:id="rId4"/>
    <sheet sheetId="2" name="Review" state="visible" r:id="rId5"/>
  </sheets>
  <calcPr calcId="171027"/>
</workbook>
</file>

<file path=xl/sharedStrings.xml><?xml version="1.0" encoding="utf-8"?>
<sst xmlns="http://schemas.openxmlformats.org/spreadsheetml/2006/main" count="31" uniqueCount="31">
  <si>
    <t>Month</t>
  </si>
  <si>
    <t>Income</t>
  </si>
  <si>
    <t>Costs</t>
  </si>
  <si>
    <t>Surplus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</si>
  <si>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</si>
  <si>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</si>
  <si>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</si>
  <si>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</si>
  <si>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</si>
  <si>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</si>
  <si>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</si>
  <si>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</si>
  <si>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</si>
  <si>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</si>
  <si>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</si>
  <si>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</si>
  <si>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Metric</t>
  </si>
  <si>
    <t>Value</t>
  </si>
  <si>
    <t>Note</t>
  </si>
  <si>
    <t>Year surplus</t>
  </si>
  <si>
    <t>Income minus costs across the year</t>
  </si>
  <si>
    <t>Average month</t>
  </si>
  <si>
    <t>Year surplus divided by 12</t>
  </si>
  <si>
    <t>Best month</t>
  </si>
  <si>
    <t>Highest surplus</t>
  </si>
  <si>
    <t>Worst month</t>
  </si>
  <si>
    <t>Lowest surplus, which can be negative</t>
  </si>
  <si>
    <t>Next year monthly target</t>
  </si>
  <si>
    <t>A number you choose</t>
  </si>
  <si>
    <t>Target minus average</t>
  </si>
  <si>
    <t>Positive means the target is above the year you just 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</si>
</sst>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28000</v>
      </c>
      <c r="C2" s="3">
        <v>25000</v>
      </c>
      <c r="D2" s="3">
        <f>B2-C2</f>
        <v>3000</v>
      </c>
    </row>
    <row r="3" spans="1:4" x14ac:dyDescent="0.25">
      <c r="A3" s="2" t="s">
        <v>5</v>
      </c>
      <c r="B3" s="3">
        <v>28000</v>
      </c>
      <c r="C3" s="3">
        <v>28800</v>
      </c>
      <c r="D3" s="3">
        <f>B3-C3</f>
        <v>-800</v>
      </c>
    </row>
    <row r="4" spans="1:4" x14ac:dyDescent="0.25">
      <c r="A4" s="2" t="s">
        <v>6</v>
      </c>
      <c r="B4" s="3">
        <v>30000</v>
      </c>
      <c r="C4" s="3">
        <v>27000</v>
      </c>
      <c r="D4" s="3">
        <f>B4-C4</f>
        <v>3000</v>
      </c>
    </row>
    <row r="5" spans="1:4" x14ac:dyDescent="0.25">
      <c r="A5" s="2" t="s">
        <v>7</v>
      </c>
      <c r="B5" s="3">
        <v>30000</v>
      </c>
      <c r="C5" s="3">
        <v>26000</v>
      </c>
      <c r="D5" s="3">
        <f>B5-C5</f>
        <v>4000</v>
      </c>
    </row>
    <row r="6" spans="1:4" x14ac:dyDescent="0.25">
      <c r="A6" s="2" t="s">
        <v>8</v>
      </c>
      <c r="B6" s="3">
        <v>30000</v>
      </c>
      <c r="C6" s="3">
        <v>31000</v>
      </c>
      <c r="D6" s="3">
        <f>B6-C6</f>
        <v>-1000</v>
      </c>
    </row>
    <row r="7" spans="1:4" x14ac:dyDescent="0.25">
      <c r="A7" s="2" t="s">
        <v>9</v>
      </c>
      <c r="B7" s="3">
        <v>32000</v>
      </c>
      <c r="C7" s="3">
        <v>29000</v>
      </c>
      <c r="D7" s="3">
        <f>B7-C7</f>
        <v>3000</v>
      </c>
    </row>
    <row r="8" spans="1:4" x14ac:dyDescent="0.25">
      <c r="A8" s="2" t="s">
        <v>10</v>
      </c>
      <c r="B8" s="3">
        <v>32000</v>
      </c>
      <c r="C8" s="3">
        <v>30000</v>
      </c>
      <c r="D8" s="3">
        <f>B8-C8</f>
        <v>2000</v>
      </c>
    </row>
    <row r="9" spans="1:4" x14ac:dyDescent="0.25">
      <c r="A9" s="2" t="s">
        <v>11</v>
      </c>
      <c r="B9" s="3">
        <v>32000</v>
      </c>
      <c r="C9" s="3">
        <v>27800</v>
      </c>
      <c r="D9" s="3">
        <f>B9-C9</f>
        <v>4200</v>
      </c>
    </row>
    <row r="10" spans="1:4" x14ac:dyDescent="0.25">
      <c r="A10" s="2" t="s">
        <v>12</v>
      </c>
      <c r="B10" s="3">
        <v>32000</v>
      </c>
      <c r="C10" s="3">
        <v>29500</v>
      </c>
      <c r="D10" s="3">
        <f>B10-C10</f>
        <v>2500</v>
      </c>
    </row>
    <row r="11" spans="1:4" x14ac:dyDescent="0.25">
      <c r="A11" s="2" t="s">
        <v>13</v>
      </c>
      <c r="B11" s="3">
        <v>34000</v>
      </c>
      <c r="C11" s="3">
        <v>31000</v>
      </c>
      <c r="D11" s="3">
        <f>B11-C11</f>
        <v>3000</v>
      </c>
    </row>
    <row r="12" spans="1:4" x14ac:dyDescent="0.25">
      <c r="A12" s="2" t="s">
        <v>14</v>
      </c>
      <c r="B12" s="3">
        <v>34000</v>
      </c>
      <c r="C12" s="3">
        <v>33000</v>
      </c>
      <c r="D12" s="3">
        <f>B12-C12</f>
        <v>1000</v>
      </c>
    </row>
    <row r="13" spans="1:4" x14ac:dyDescent="0.25">
      <c r="A13" s="2" t="s">
        <v>15</v>
      </c>
      <c r="B13" s="3">
        <v>36000</v>
      </c>
      <c r="C13" s="3">
        <v>34000</v>
      </c>
      <c r="D13" s="3">
        <f>B13-C13</f>
        <v>2000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40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 t="s">
        <v>19</v>
      </c>
      <c r="B2" s="4">
        <f>SUM(Months!D2:D13)</f>
        <v>25900</v>
      </c>
      <c r="C2" s="2" t="s">
        <v>20</v>
      </c>
    </row>
    <row r="3" spans="1:3" x14ac:dyDescent="0.25">
      <c r="A3" s="2" t="s">
        <v>21</v>
      </c>
      <c r="B3" s="4">
        <f>B2/12</f>
        <v>2158.3333333333335</v>
      </c>
      <c r="C3" s="2" t="s">
        <v>22</v>
      </c>
    </row>
    <row r="4" spans="1:3" x14ac:dyDescent="0.25">
      <c r="A4" s="2" t="s">
        <v>23</v>
      </c>
      <c r="B4" s="4">
        <f>MAX(Months!D2:D13)</f>
        <v>4200</v>
      </c>
      <c r="C4" s="2" t="s">
        <v>24</v>
      </c>
    </row>
    <row r="5" spans="1:3" x14ac:dyDescent="0.25">
      <c r="A5" s="2" t="s">
        <v>25</v>
      </c>
      <c r="B5" s="4">
        <f>MIN(Months!D2:D13)</f>
        <v>-1000</v>
      </c>
      <c r="C5" s="2" t="s">
        <v>26</v>
      </c>
    </row>
    <row r="6" spans="1:3" x14ac:dyDescent="0.25">
      <c r="A6" s="2" t="s">
        <v>27</v>
      </c>
      <c r="B6" s="4">
        <v>2500</v>
      </c>
      <c r="C6" s="2" t="s">
        <v>28</v>
      </c>
    </row>
    <row r="7" spans="1:3" x14ac:dyDescent="0.25">
      <c r="A7" s="2" t="s">
        <v>29</v>
      </c>
      <c r="B7" s="4">
        <f>B6-B3</f>
        <v>341.6666666666665</v>
      </c>
      <c r="C7" s="2" t="s">
        <v>30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Months</vt:lpstr>
      <vt:lpstr>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