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Cost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<sst xmlns="http://schemas.openxmlformats.org/spreadsheetml/2006/main" count="43" uniqueCount="35">
  <si>
    <t>Number</t>
  </si>
  <si>
    <t>Client</t>
  </si>
  <si>
    <t>Amount</t>
  </si>
  <si>
    <t>Status</t>
  </si>
  <si>
    <t>Work</t>
  </si>
  <si>
    <t>INV-014</t>
  </si>
  <si>
    <t>North Station Cafe</t>
  </si>
  <si>
    <t>Paid</t>
  </si>
  <si>
    <t>Menu photography</t>
  </si>
  <si>
    <t>INV-015</t>
  </si>
  <si>
    <t>Khumalo Legal</t>
  </si>
  <si>
    <t>One-page site update</t>
  </si>
  <si>
    <t>INV-016</t>
  </si>
  <si>
    <t>Harbour Studio</t>
  </si>
  <si>
    <t>Outstanding</t>
  </si>
  <si>
    <t>Brand sheet, sent 2 October</t>
  </si>
  <si>
    <t>INV-017</t>
  </si>
  <si>
    <t>Cancelled reshoot, kept for the record</t>
  </si>
  <si>
    <t>Cost</t>
  </si>
  <si>
    <t>Note</t>
  </si>
  <si>
    <t>Software</t>
  </si>
  <si>
    <t>Editing app for the month</t>
  </si>
  <si>
    <t>Travel</t>
  </si>
  <si>
    <t>Two client visits</t>
  </si>
  <si>
    <t>Data</t>
  </si>
  <si>
    <t>Extra mobile data</t>
  </si>
  <si>
    <t>Metric</t>
  </si>
  <si>
    <t>Invoiced</t>
  </si>
  <si>
    <t>Includes the zero cancelled row</t>
  </si>
  <si>
    <t>Cash received</t>
  </si>
  <si>
    <t>Still to collect</t>
  </si>
  <si>
    <t>Costs</t>
  </si>
  <si>
    <t>Costs of doing the work</t>
  </si>
  <si>
    <t>Profit on paid work</t>
  </si>
  <si>
    <t>Does not treat unpaid invoices as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</si>
</sst>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4" customWidth="1"/>
    <col min="4" max="4" width="16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4500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3">
        <v>14000</v>
      </c>
      <c r="D3" s="2" t="s">
        <v>7</v>
      </c>
      <c r="E3" s="2" t="s">
        <v>11</v>
      </c>
    </row>
    <row r="4" spans="1:5" x14ac:dyDescent="0.25">
      <c r="A4" s="2" t="s">
        <v>12</v>
      </c>
      <c r="B4" s="2" t="s">
        <v>13</v>
      </c>
      <c r="C4" s="3">
        <v>7200</v>
      </c>
      <c r="D4" s="2" t="s">
        <v>14</v>
      </c>
      <c r="E4" s="2" t="s">
        <v>15</v>
      </c>
    </row>
    <row r="5" spans="1:5" x14ac:dyDescent="0.25">
      <c r="A5" s="2" t="s">
        <v>16</v>
      </c>
      <c r="B5" s="2" t="s">
        <v>6</v>
      </c>
      <c r="C5" s="3">
        <v>0</v>
      </c>
      <c r="D5" s="2" t="s">
        <v>7</v>
      </c>
      <c r="E5" s="2" t="s">
        <v>17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36" customWidth="1"/>
  </cols>
  <sheetData>
    <row r="1" spans="1:3" x14ac:dyDescent="0.25">
      <c r="A1" s="1" t="s">
        <v>18</v>
      </c>
      <c r="B1" s="1" t="s">
        <v>2</v>
      </c>
      <c r="C1" s="1" t="s">
        <v>19</v>
      </c>
    </row>
    <row r="2" spans="1:3" x14ac:dyDescent="0.25">
      <c r="A2" s="2" t="s">
        <v>20</v>
      </c>
      <c r="B2" s="3">
        <v>350</v>
      </c>
      <c r="C2" s="2" t="s">
        <v>21</v>
      </c>
    </row>
    <row r="3" spans="1:3" x14ac:dyDescent="0.25">
      <c r="A3" s="2" t="s">
        <v>22</v>
      </c>
      <c r="B3" s="3">
        <v>280</v>
      </c>
      <c r="C3" s="2" t="s">
        <v>23</v>
      </c>
    </row>
    <row r="4" spans="1:3" x14ac:dyDescent="0.25">
      <c r="A4" s="2" t="s">
        <v>24</v>
      </c>
      <c r="B4" s="3">
        <v>199</v>
      </c>
      <c r="C4" s="2" t="s">
        <v>25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26</v>
      </c>
      <c r="B1" s="1" t="s">
        <v>2</v>
      </c>
      <c r="C1" s="1" t="s">
        <v>19</v>
      </c>
    </row>
    <row r="2" spans="1:3" x14ac:dyDescent="0.25">
      <c r="A2" s="2" t="s">
        <v>27</v>
      </c>
      <c r="B2" s="3">
        <f>SUM(Invoices!C2:C5)</f>
        <v>25700</v>
      </c>
      <c r="C2" s="2" t="s">
        <v>28</v>
      </c>
    </row>
    <row r="3" spans="1:3" x14ac:dyDescent="0.25">
      <c r="A3" s="2" t="s">
        <v>7</v>
      </c>
      <c r="B3" s="3">
        <f>SUMIF(Invoices!D2:D5,"Paid",Invoices!C2:C5)</f>
        <v>18500</v>
      </c>
      <c r="C3" s="2" t="s">
        <v>29</v>
      </c>
    </row>
    <row r="4" spans="1:3" x14ac:dyDescent="0.25">
      <c r="A4" s="2" t="s">
        <v>14</v>
      </c>
      <c r="B4" s="3">
        <f>SUMIF(Invoices!D2:D5,"Outstanding",Invoices!C2:C5)</f>
        <v>7200</v>
      </c>
      <c r="C4" s="2" t="s">
        <v>30</v>
      </c>
    </row>
    <row r="5" spans="1:3" x14ac:dyDescent="0.25">
      <c r="A5" s="2" t="s">
        <v>31</v>
      </c>
      <c r="B5" s="3">
        <f>SUM(Costs!B2:B4)</f>
        <v>829</v>
      </c>
      <c r="C5" s="2" t="s">
        <v>32</v>
      </c>
    </row>
    <row r="6" spans="1:3" x14ac:dyDescent="0.25">
      <c r="A6" s="2" t="s">
        <v>33</v>
      </c>
      <c r="B6" s="3">
        <f>B3-B5</f>
        <v>17671</v>
      </c>
      <c r="C6" s="2" t="s">
        <v>34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Costs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