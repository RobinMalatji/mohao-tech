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voices" state="visible" r:id="rId5"/>
    <sheet sheetId="3" name="Year" state="visible" r:id="rId6"/>
  </sheets>
  <calcPr calcId="171027"/>
</workbook>
</file>

<file path=xl/sharedStrings.xml><?xml version="1.0" encoding="utf-8"?>
<sst xmlns="http://schemas.openxmlformats.org/spreadsheetml/2006/main" count="27" uniqueCount="24">
  <si>
    <t>Item</t>
  </si>
  <si>
    <t>Monthly</t>
  </si>
  <si>
    <t>Note</t>
  </si>
  <si>
    <t>Medical aid</t>
  </si>
  <si>
    <t>Sample contribution</t>
  </si>
  <si>
    <t>Gap cover</t>
  </si>
  <si>
    <t>Sample premium</t>
  </si>
  <si>
    <t>Invoice</t>
  </si>
  <si>
    <t>You paid</t>
  </si>
  <si>
    <t>Pharmacy</t>
  </si>
  <si>
    <t>Not refunded in this sample</t>
  </si>
  <si>
    <t>Dentist</t>
  </si>
  <si>
    <t>Amount after the scheme payment</t>
  </si>
  <si>
    <t>Optometrist</t>
  </si>
  <si>
    <t>Lenses excess</t>
  </si>
  <si>
    <t>Metric</t>
  </si>
  <si>
    <t>Amount</t>
  </si>
  <si>
    <t>Annual medical aid</t>
  </si>
  <si>
    <t>Premiums only</t>
  </si>
  <si>
    <t>Annual gap cover</t>
  </si>
  <si>
    <t>Invoices you paid</t>
  </si>
  <si>
    <t>Cash after any scheme payment</t>
  </si>
  <si>
    <t>Cash healthcare total</t>
  </si>
  <si>
    <t>Premiums plus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</si>
</sst>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3200</v>
      </c>
      <c r="C2" s="2" t="s">
        <v>4</v>
      </c>
    </row>
    <row r="3" spans="1:3" x14ac:dyDescent="0.25">
      <c r="A3" s="2" t="s">
        <v>5</v>
      </c>
      <c r="B3" s="3">
        <v>450</v>
      </c>
      <c r="C3" s="2" t="s">
        <v>6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7</v>
      </c>
      <c r="B1" s="1" t="s">
        <v>8</v>
      </c>
      <c r="C1" s="1" t="s">
        <v>2</v>
      </c>
    </row>
    <row r="2" spans="1:3" x14ac:dyDescent="0.25">
      <c r="A2" s="2" t="s">
        <v>9</v>
      </c>
      <c r="B2" s="3">
        <v>860</v>
      </c>
      <c r="C2" s="2" t="s">
        <v>10</v>
      </c>
    </row>
    <row r="3" spans="1:3" x14ac:dyDescent="0.25">
      <c r="A3" s="2" t="s">
        <v>11</v>
      </c>
      <c r="B3" s="3">
        <v>1200</v>
      </c>
      <c r="C3" s="2" t="s">
        <v>12</v>
      </c>
    </row>
    <row r="4" spans="1:3" x14ac:dyDescent="0.25">
      <c r="A4" s="2" t="s">
        <v>13</v>
      </c>
      <c r="B4" s="3">
        <v>300</v>
      </c>
      <c r="C4" s="2" t="s">
        <v>14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40" customWidth="1"/>
  </cols>
  <sheetData>
    <row r="1" spans="1:3" x14ac:dyDescent="0.25">
      <c r="A1" s="1" t="s">
        <v>15</v>
      </c>
      <c r="B1" s="1" t="s">
        <v>16</v>
      </c>
      <c r="C1" s="1" t="s">
        <v>2</v>
      </c>
    </row>
    <row r="2" spans="1:3" x14ac:dyDescent="0.25">
      <c r="A2" s="2" t="s">
        <v>17</v>
      </c>
      <c r="B2" s="3">
        <f>Cover!B2*12</f>
        <v>38400</v>
      </c>
      <c r="C2" s="2" t="s">
        <v>18</v>
      </c>
    </row>
    <row r="3" spans="1:3" x14ac:dyDescent="0.25">
      <c r="A3" s="2" t="s">
        <v>19</v>
      </c>
      <c r="B3" s="3">
        <f>Cover!B3*12</f>
        <v>5400</v>
      </c>
      <c r="C3" s="2" t="s">
        <v>18</v>
      </c>
    </row>
    <row r="4" spans="1:3" x14ac:dyDescent="0.25">
      <c r="A4" s="2" t="s">
        <v>20</v>
      </c>
      <c r="B4" s="3">
        <f>SUM(Invoices!B2:B4)</f>
        <v>2360</v>
      </c>
      <c r="C4" s="2" t="s">
        <v>21</v>
      </c>
    </row>
    <row r="5" spans="1:3" x14ac:dyDescent="0.25">
      <c r="A5" s="2" t="s">
        <v>22</v>
      </c>
      <c r="B5" s="3">
        <f>B2+B3+B4</f>
        <v>46160</v>
      </c>
      <c r="C5" s="2" t="s">
        <v>23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Invoices</vt:lpstr>
      <vt:lpstr>Year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