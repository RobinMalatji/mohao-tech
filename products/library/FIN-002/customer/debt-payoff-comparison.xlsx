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Debts" state="visible" r:id="rId5"/>
    <sheet sheetId="3" name="Calc" state="visible" r:id="rId6"/>
  </sheets>
  <calcPr calcId="171027"/>
</workbook>
</file>

<file path=xl/sharedStrings.xml><?xml version="1.0" encoding="utf-8"?>
<sst xmlns="http://schemas.openxmlformats.org/spreadsheetml/2006/main" count="33" uniqueCount="29">
  <si>
    <t>Item</t>
  </si>
  <si>
    <t>Amount</t>
  </si>
  <si>
    <t>Note</t>
  </si>
  <si>
    <t>Extra payment</t>
  </si>
  <si>
    <t>Money you can add after every minimum is paid</t>
  </si>
  <si>
    <t>Debt</t>
  </si>
  <si>
    <t>Balance</t>
  </si>
  <si>
    <t>Annual rate</t>
  </si>
  <si>
    <t>Minimum</t>
  </si>
  <si>
    <t>Store card</t>
  </si>
  <si>
    <t>Highest rate in the sample</t>
  </si>
  <si>
    <t>Personal loan</t>
  </si>
  <si>
    <t>Fixed sample rate</t>
  </si>
  <si>
    <t>Family loan</t>
  </si>
  <si>
    <t>No interest, still a real promise</t>
  </si>
  <si>
    <t>Metric</t>
  </si>
  <si>
    <t>Value</t>
  </si>
  <si>
    <t>Store interest this month</t>
  </si>
  <si>
    <t>Balance times monthly rate</t>
  </si>
  <si>
    <t>Loan interest this month</t>
  </si>
  <si>
    <t>Family interest this month</t>
  </si>
  <si>
    <t>Zero when the rate is zero</t>
  </si>
  <si>
    <t>Store months at minimum</t>
  </si>
  <si>
    <t>Assumes the minimum stays constant</t>
  </si>
  <si>
    <t>Loan months at minimum</t>
  </si>
  <si>
    <t>Family months at minimum</t>
  </si>
  <si>
    <t>Rate is zero, so this is balance divided by payment</t>
  </si>
  <si>
    <t>Store months with extra</t>
  </si>
  <si>
    <t>Avalanche: the extra follows the highest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</si>
</sst>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&quot;#,##0.00"/>
    <numFmt numFmtId="165" formatCode="0.0%"/>
  </numFmts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5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1500</v>
      </c>
      <c r="C2" s="2" t="s">
        <v>4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14" customWidth="1"/>
    <col min="4" max="4" width="16" customWidth="1"/>
    <col min="5" max="5" width="40" customWidth="1"/>
  </cols>
  <sheetData>
    <row r="1" spans="1: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2</v>
      </c>
    </row>
    <row r="2" spans="1:5" x14ac:dyDescent="0.25">
      <c r="A2" s="2" t="s">
        <v>9</v>
      </c>
      <c r="B2" s="3">
        <v>8500</v>
      </c>
      <c r="C2" s="4">
        <v>0.22</v>
      </c>
      <c r="D2" s="3">
        <v>450</v>
      </c>
      <c r="E2" s="2" t="s">
        <v>10</v>
      </c>
    </row>
    <row r="3" spans="1:5" x14ac:dyDescent="0.25">
      <c r="A3" s="2" t="s">
        <v>11</v>
      </c>
      <c r="B3" s="3">
        <v>28000</v>
      </c>
      <c r="C3" s="4">
        <v>0.175</v>
      </c>
      <c r="D3" s="3">
        <v>980</v>
      </c>
      <c r="E3" s="2" t="s">
        <v>12</v>
      </c>
    </row>
    <row r="4" spans="1:5" x14ac:dyDescent="0.25">
      <c r="A4" s="2" t="s">
        <v>13</v>
      </c>
      <c r="B4" s="3">
        <v>4000</v>
      </c>
      <c r="C4" s="4">
        <v>0</v>
      </c>
      <c r="D4" s="3">
        <v>400</v>
      </c>
      <c r="E4" s="2" t="s">
        <v>14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42" customWidth="1"/>
  </cols>
  <sheetData>
    <row r="1" spans="1:3" x14ac:dyDescent="0.25">
      <c r="A1" s="1" t="s">
        <v>15</v>
      </c>
      <c r="B1" s="1" t="s">
        <v>16</v>
      </c>
      <c r="C1" s="1" t="s">
        <v>2</v>
      </c>
    </row>
    <row r="2" spans="1:3" x14ac:dyDescent="0.25">
      <c r="A2" s="2" t="s">
        <v>17</v>
      </c>
      <c r="B2" s="5">
        <f>Debts!B2*Debts!C2/12</f>
        <v>155.83333333333334</v>
      </c>
      <c r="C2" s="2" t="s">
        <v>18</v>
      </c>
    </row>
    <row r="3" spans="1:3" x14ac:dyDescent="0.25">
      <c r="A3" s="2" t="s">
        <v>19</v>
      </c>
      <c r="B3" s="5">
        <f>Debts!B3*Debts!C3/12</f>
        <v>408.3333333333333</v>
      </c>
      <c r="C3" s="2" t="s">
        <v>18</v>
      </c>
    </row>
    <row r="4" spans="1:3" x14ac:dyDescent="0.25">
      <c r="A4" s="2" t="s">
        <v>20</v>
      </c>
      <c r="B4" s="5">
        <f>Debts!B4*Debts!C4/12</f>
        <v>0</v>
      </c>
      <c r="C4" s="2" t="s">
        <v>21</v>
      </c>
    </row>
    <row r="5" spans="1:3" x14ac:dyDescent="0.25">
      <c r="A5" s="2" t="s">
        <v>22</v>
      </c>
      <c r="B5" s="5">
        <f>NPER(Debts!C2/12,-Debts!D2,Debts!B2)</f>
        <v>23.399238746017815</v>
      </c>
      <c r="C5" s="2" t="s">
        <v>23</v>
      </c>
    </row>
    <row r="6" spans="1:3" x14ac:dyDescent="0.25">
      <c r="A6" s="2" t="s">
        <v>24</v>
      </c>
      <c r="B6" s="5">
        <f>NPER(Debts!C3/12,-Debts!D3,Debts!B3)</f>
        <v>37.22860800273976</v>
      </c>
      <c r="C6" s="2" t="s">
        <v>23</v>
      </c>
    </row>
    <row r="7" spans="1:3" x14ac:dyDescent="0.25">
      <c r="A7" s="2" t="s">
        <v>25</v>
      </c>
      <c r="B7" s="5">
        <f>NPER(Debts!C4/12,-Debts!D4,Debts!B4)</f>
        <v>10</v>
      </c>
      <c r="C7" s="2" t="s">
        <v>26</v>
      </c>
    </row>
    <row r="8" spans="1:3" x14ac:dyDescent="0.25">
      <c r="A8" s="2" t="s">
        <v>27</v>
      </c>
      <c r="B8" s="5">
        <f>NPER(Debts!C2/12,-(Debts!D2+Inputs!B2),Debts!B2)</f>
        <v>4.584538861221791</v>
      </c>
      <c r="C8" s="2" t="s">
        <v>28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Debts</vt:lpstr>
      <vt:lpstr>Calc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