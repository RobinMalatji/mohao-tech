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ffers" state="visible" r:id="rId4"/>
  </sheets>
  <calcPr calcId="171027"/>
</workbook>
</file>

<file path=xl/sharedStrings.xml><?xml version="1.0" encoding="utf-8"?>
<sst xmlns="http://schemas.openxmlformats.org/spreadsheetml/2006/main" count="20" uniqueCount="20">
  <si>
    <t>Input</t>
  </si>
  <si>
    <t>Offer A</t>
  </si>
  <si>
    <t>Offer B</t>
  </si>
  <si>
    <t>Note</t>
  </si>
  <si>
    <t>Cash price</t>
  </si>
  <si>
    <t>Advertised price before extras</t>
  </si>
  <si>
    <t>Deposit</t>
  </si>
  <si>
    <t>Cash you pay up front</t>
  </si>
  <si>
    <t>Amount financed</t>
  </si>
  <si>
    <t>Price minus deposit</t>
  </si>
  <si>
    <t>Annual rate</t>
  </si>
  <si>
    <t>Sample interest rates, not quotes</t>
  </si>
  <si>
    <t>Term in months</t>
  </si>
  <si>
    <t>Offer A is six years, offer B is five</t>
  </si>
  <si>
    <t>Monthly repayment</t>
  </si>
  <si>
    <t>Estimate only</t>
  </si>
  <si>
    <t>Repayments over term</t>
  </si>
  <si>
    <t>Monthly amount times months</t>
  </si>
  <si>
    <t>Cost of finance</t>
  </si>
  <si>
    <t>Repayments minus amount financed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</si>
</sst>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B0B0B"/>
      <name val="Calibri"/>
    </font>
    <font>
      <color rgb="FF0B0B0B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4F3EF"/>
      </patternFill>
    </fill>
  </fills>
  <borders count="2">
    <border>
      <left/>
      <right/>
      <top/>
      <bottom/>
      <diagonal/>
    </border>
    <border>
      <left/>
      <right/>
      <top/>
      <bottom style="thin">
        <color rgb="FFE4E1D8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2" borderId="1" xfId="0" applyNumberFormat="1" applyFont="1" applyFill="1" applyBorder="1" applyAlignment="1">
      <alignment vertical="center" wrapText="1"/>
    </xf>
    <xf numFmtId="49" fontId="2" fillId="0" borderId="1" xfId="0" applyNumberFormat="1" applyFont="1" applyBorder="1" applyAlignment="1">
      <alignment vertical="center" wrapText="1"/>
    </xf>
    <xf numFmtId="4" fontId="2" fillId="0" borderId="1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3" width="18" customWidth="1"/>
    <col min="4" max="4" width="36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3">
        <v>189900</v>
      </c>
      <c r="C2" s="3">
        <v>194900</v>
      </c>
      <c r="D2" s="2" t="s">
        <v>5</v>
      </c>
    </row>
    <row r="3" spans="1:4" x14ac:dyDescent="0.25">
      <c r="A3" s="2" t="s">
        <v>6</v>
      </c>
      <c r="B3" s="3">
        <v>20000</v>
      </c>
      <c r="C3" s="3">
        <v>20000</v>
      </c>
      <c r="D3" s="2" t="s">
        <v>7</v>
      </c>
    </row>
    <row r="4" spans="1:4" x14ac:dyDescent="0.25">
      <c r="A4" s="2" t="s">
        <v>8</v>
      </c>
      <c r="B4" s="3">
        <f>B2-B3</f>
        <v>169900</v>
      </c>
      <c r="C4" s="3">
        <f>C2-C3</f>
        <v>174900</v>
      </c>
      <c r="D4" s="2" t="s">
        <v>9</v>
      </c>
    </row>
    <row r="5" spans="1:4" x14ac:dyDescent="0.25">
      <c r="A5" s="2" t="s">
        <v>10</v>
      </c>
      <c r="B5" s="3">
        <v>0.1175</v>
      </c>
      <c r="C5" s="3">
        <v>0.099</v>
      </c>
      <c r="D5" s="2" t="s">
        <v>11</v>
      </c>
    </row>
    <row r="6" spans="1:4" x14ac:dyDescent="0.25">
      <c r="A6" s="2" t="s">
        <v>12</v>
      </c>
      <c r="B6" s="3">
        <v>72</v>
      </c>
      <c r="C6" s="3">
        <v>60</v>
      </c>
      <c r="D6" s="2" t="s">
        <v>13</v>
      </c>
    </row>
    <row r="7" spans="1:4" x14ac:dyDescent="0.25">
      <c r="A7" s="2" t="s">
        <v>14</v>
      </c>
      <c r="B7" s="3">
        <f>ABS(PMT(B5/12,B6,B4))</f>
        <v>3299.531060105995</v>
      </c>
      <c r="C7" s="3">
        <f>ABS(PMT(C5/12,C6,C4))</f>
        <v>3707.508177530578</v>
      </c>
      <c r="D7" s="2" t="s">
        <v>15</v>
      </c>
    </row>
    <row r="8" spans="1:4" x14ac:dyDescent="0.25">
      <c r="A8" s="2" t="s">
        <v>16</v>
      </c>
      <c r="B8" s="3">
        <f>B7*B6</f>
        <v>237566.23632763163</v>
      </c>
      <c r="C8" s="3">
        <f>C7*C6</f>
        <v>222450.49065183467</v>
      </c>
      <c r="D8" s="2" t="s">
        <v>17</v>
      </c>
    </row>
    <row r="9" spans="1:4" x14ac:dyDescent="0.25">
      <c r="A9" s="2" t="s">
        <v>18</v>
      </c>
      <c r="B9" s="3">
        <f>B8-B4</f>
        <v>67666.23632763163</v>
      </c>
      <c r="C9" s="3">
        <f>C8-C4</f>
        <v>47550.49065183467</v>
      </c>
      <c r="D9" s="2" t="s">
        <v>19</v>
      </c>
    </row>
  </sheetData>
  <pageMargins left="0.7" right="0.7" top="0.75" bottom="0.75" header="0.3" footer="0.3"/>
  <pageSetup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Offers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MOHAO</dc:creator>
  <dc:title/>
  <dc:subject/>
  <dc:description/>
  <cp:keywords/>
  <cp:category/>
  <cp:lastModifiedBy>Unknown</cp:lastModifiedBy>
  <dcterms:created xsi:type="dcterms:W3CDTF">2026-10-12T00:00:00Z</dcterms:created>
  <dcterms:modified xsi:type="dcterms:W3CDTF">2026-10-12T20:07:20Z</dcterms:modified>
</cp:coreProperties>
</file>