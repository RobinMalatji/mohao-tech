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sentials" state="visible" r:id="rId4"/>
    <sheet sheetId="2" name="Plan" state="visible" r:id="rId5"/>
  </sheets>
  <calcPr calcId="171027"/>
</workbook>
</file>

<file path=xl/sharedStrings.xml><?xml version="1.0" encoding="utf-8"?>
<sst xmlns="http://schemas.openxmlformats.org/spreadsheetml/2006/main" count="32" uniqueCount="30">
  <si>
    <t>Cost</t>
  </si>
  <si>
    <t>Monthly</t>
  </si>
  <si>
    <t>Could you pause it?</t>
  </si>
  <si>
    <t>Rent</t>
  </si>
  <si>
    <t>No</t>
  </si>
  <si>
    <t>Groceries</t>
  </si>
  <si>
    <t>Only partly</t>
  </si>
  <si>
    <t>Transport to work</t>
  </si>
  <si>
    <t>Medical aid</t>
  </si>
  <si>
    <t>No, in this sample</t>
  </si>
  <si>
    <t>Prepaid electricity</t>
  </si>
  <si>
    <t>Mobile</t>
  </si>
  <si>
    <t>Reduce, do not cut contact</t>
  </si>
  <si>
    <t>Item</t>
  </si>
  <si>
    <t>Value</t>
  </si>
  <si>
    <t>Note</t>
  </si>
  <si>
    <t>Months of cover</t>
  </si>
  <si>
    <t>Three months is the sample target</t>
  </si>
  <si>
    <t>Already saved</t>
  </si>
  <si>
    <t>Cash you can reach within a day</t>
  </si>
  <si>
    <t>Monthly contribution</t>
  </si>
  <si>
    <t>Transfer the day after payday</t>
  </si>
  <si>
    <t>Essential total</t>
  </si>
  <si>
    <t>Costs you chose not to pause</t>
  </si>
  <si>
    <t>Target</t>
  </si>
  <si>
    <t>Essential total times months</t>
  </si>
  <si>
    <t>Still to save</t>
  </si>
  <si>
    <t>Target minus cash already saved</t>
  </si>
  <si>
    <t>Months to target</t>
  </si>
  <si>
    <t>Still to save divided by the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</si>
</sst>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4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9500</v>
      </c>
      <c r="C2" s="2" t="s">
        <v>4</v>
      </c>
    </row>
    <row r="3" spans="1:3" x14ac:dyDescent="0.25">
      <c r="A3" s="2" t="s">
        <v>5</v>
      </c>
      <c r="B3" s="3">
        <v>3500</v>
      </c>
      <c r="C3" s="2" t="s">
        <v>6</v>
      </c>
    </row>
    <row r="4" spans="1:3" x14ac:dyDescent="0.25">
      <c r="A4" s="2" t="s">
        <v>7</v>
      </c>
      <c r="B4" s="3">
        <v>1800</v>
      </c>
      <c r="C4" s="2" t="s">
        <v>4</v>
      </c>
    </row>
    <row r="5" spans="1:3" x14ac:dyDescent="0.25">
      <c r="A5" s="2" t="s">
        <v>8</v>
      </c>
      <c r="B5" s="3">
        <v>2000</v>
      </c>
      <c r="C5" s="2" t="s">
        <v>9</v>
      </c>
    </row>
    <row r="6" spans="1:3" x14ac:dyDescent="0.25">
      <c r="A6" s="2" t="s">
        <v>10</v>
      </c>
      <c r="B6" s="3">
        <v>800</v>
      </c>
      <c r="C6" s="2" t="s">
        <v>4</v>
      </c>
    </row>
    <row r="7" spans="1:3" x14ac:dyDescent="0.25">
      <c r="A7" s="2" t="s">
        <v>11</v>
      </c>
      <c r="B7" s="3">
        <v>200</v>
      </c>
      <c r="C7" s="2" t="s">
        <v>12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6" customWidth="1"/>
    <col min="3" max="3" width="40" customWidth="1"/>
  </cols>
  <sheetData>
    <row r="1" spans="1:3" x14ac:dyDescent="0.25">
      <c r="A1" s="1" t="s">
        <v>13</v>
      </c>
      <c r="B1" s="1" t="s">
        <v>14</v>
      </c>
      <c r="C1" s="1" t="s">
        <v>15</v>
      </c>
    </row>
    <row r="2" spans="1:3" x14ac:dyDescent="0.25">
      <c r="A2" s="2" t="s">
        <v>16</v>
      </c>
      <c r="B2" s="4">
        <v>3</v>
      </c>
      <c r="C2" s="2" t="s">
        <v>17</v>
      </c>
    </row>
    <row r="3" spans="1:3" x14ac:dyDescent="0.25">
      <c r="A3" s="2" t="s">
        <v>18</v>
      </c>
      <c r="B3" s="4">
        <v>8000</v>
      </c>
      <c r="C3" s="2" t="s">
        <v>19</v>
      </c>
    </row>
    <row r="4" spans="1:3" x14ac:dyDescent="0.25">
      <c r="A4" s="2" t="s">
        <v>20</v>
      </c>
      <c r="B4" s="4">
        <v>2000</v>
      </c>
      <c r="C4" s="2" t="s">
        <v>21</v>
      </c>
    </row>
    <row r="5" spans="1:3" x14ac:dyDescent="0.25">
      <c r="A5" s="2" t="s">
        <v>22</v>
      </c>
      <c r="B5" s="4">
        <f>SUM(Essentials!B2:B7)</f>
        <v>17800</v>
      </c>
      <c r="C5" s="2" t="s">
        <v>23</v>
      </c>
    </row>
    <row r="6" spans="1:3" x14ac:dyDescent="0.25">
      <c r="A6" s="2" t="s">
        <v>24</v>
      </c>
      <c r="B6" s="4">
        <f>B5*B2</f>
        <v>53400</v>
      </c>
      <c r="C6" s="2" t="s">
        <v>25</v>
      </c>
    </row>
    <row r="7" spans="1:3" x14ac:dyDescent="0.25">
      <c r="A7" s="2" t="s">
        <v>26</v>
      </c>
      <c r="B7" s="4">
        <f>MAX(0,B6-B3)</f>
        <v>45400</v>
      </c>
      <c r="C7" s="2" t="s">
        <v>27</v>
      </c>
    </row>
    <row r="8" spans="1:3" x14ac:dyDescent="0.25">
      <c r="A8" s="2" t="s">
        <v>28</v>
      </c>
      <c r="B8" s="4">
        <f>IF(B4=0,0,B7/B4)</f>
        <v>22.7</v>
      </c>
      <c r="C8" s="2" t="s">
        <v>29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Essentials</vt:lpstr>
      <vt:lpstr>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