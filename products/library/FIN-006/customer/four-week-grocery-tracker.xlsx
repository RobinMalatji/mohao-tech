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" state="visible" r:id="rId4"/>
    <sheet sheetId="2" name="Month" state="visible" r:id="rId5"/>
  </sheets>
  <calcPr calcId="171027"/>
</workbook>
</file>

<file path=xl/sharedStrings.xml><?xml version="1.0" encoding="utf-8"?>
<sst xmlns="http://schemas.openxmlformats.org/spreadsheetml/2006/main" count="38" uniqueCount="33">
  <si>
    <t>Item</t>
  </si>
  <si>
    <t>Qty</t>
  </si>
  <si>
    <t>Unit price</t>
  </si>
  <si>
    <t>Line</t>
  </si>
  <si>
    <t>Aisle</t>
  </si>
  <si>
    <t>Maize meal 5kg</t>
  </si>
  <si>
    <t>Staples</t>
  </si>
  <si>
    <t>Rice 2kg</t>
  </si>
  <si>
    <t>Brown bread</t>
  </si>
  <si>
    <t>Eggs 18</t>
  </si>
  <si>
    <t>Protein</t>
  </si>
  <si>
    <t>Chicken portions</t>
  </si>
  <si>
    <t>Pilchards</t>
  </si>
  <si>
    <t>Milk 2L</t>
  </si>
  <si>
    <t>Dairy</t>
  </si>
  <si>
    <t>Vegetables</t>
  </si>
  <si>
    <t>Produce</t>
  </si>
  <si>
    <t>Fruit</t>
  </si>
  <si>
    <t>Cleaning</t>
  </si>
  <si>
    <t>Household</t>
  </si>
  <si>
    <t>Metric</t>
  </si>
  <si>
    <t>Value</t>
  </si>
  <si>
    <t>Note</t>
  </si>
  <si>
    <t>People eating</t>
  </si>
  <si>
    <t>Adults and children who eat from this shop</t>
  </si>
  <si>
    <t>One shop</t>
  </si>
  <si>
    <t>The list once</t>
  </si>
  <si>
    <t>Four weeks</t>
  </si>
  <si>
    <t>Assumes the list repeats</t>
  </si>
  <si>
    <t>Per person per week</t>
  </si>
  <si>
    <t>One shop divided by people</t>
  </si>
  <si>
    <t>Per person per month</t>
  </si>
  <si>
    <t>Four weeks divided by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</si>
</sst>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4" customWidth="1"/>
    <col min="4" max="4" width="16" customWidth="1"/>
    <col min="5" max="5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1</v>
      </c>
      <c r="C2" s="4">
        <v>79</v>
      </c>
      <c r="D2" s="4">
        <f>B2*C2</f>
        <v>79</v>
      </c>
      <c r="E2" s="2" t="s">
        <v>6</v>
      </c>
    </row>
    <row r="3" spans="1:5" x14ac:dyDescent="0.25">
      <c r="A3" s="2" t="s">
        <v>7</v>
      </c>
      <c r="B3" s="3">
        <v>1</v>
      </c>
      <c r="C3" s="4">
        <v>42</v>
      </c>
      <c r="D3" s="4">
        <f>B3*C3</f>
        <v>42</v>
      </c>
      <c r="E3" s="2" t="s">
        <v>6</v>
      </c>
    </row>
    <row r="4" spans="1:5" x14ac:dyDescent="0.25">
      <c r="A4" s="2" t="s">
        <v>8</v>
      </c>
      <c r="B4" s="3">
        <v>4</v>
      </c>
      <c r="C4" s="4">
        <v>16</v>
      </c>
      <c r="D4" s="4">
        <f>B4*C4</f>
        <v>64</v>
      </c>
      <c r="E4" s="2" t="s">
        <v>6</v>
      </c>
    </row>
    <row r="5" spans="1:5" x14ac:dyDescent="0.25">
      <c r="A5" s="2" t="s">
        <v>9</v>
      </c>
      <c r="B5" s="3">
        <v>1</v>
      </c>
      <c r="C5" s="4">
        <v>62</v>
      </c>
      <c r="D5" s="4">
        <f>B5*C5</f>
        <v>62</v>
      </c>
      <c r="E5" s="2" t="s">
        <v>10</v>
      </c>
    </row>
    <row r="6" spans="1:5" x14ac:dyDescent="0.25">
      <c r="A6" s="2" t="s">
        <v>11</v>
      </c>
      <c r="B6" s="3">
        <v>2</v>
      </c>
      <c r="C6" s="4">
        <v>89</v>
      </c>
      <c r="D6" s="4">
        <f>B6*C6</f>
        <v>178</v>
      </c>
      <c r="E6" s="2" t="s">
        <v>10</v>
      </c>
    </row>
    <row r="7" spans="1:5" x14ac:dyDescent="0.25">
      <c r="A7" s="2" t="s">
        <v>12</v>
      </c>
      <c r="B7" s="3">
        <v>4</v>
      </c>
      <c r="C7" s="4">
        <v>22</v>
      </c>
      <c r="D7" s="4">
        <f>B7*C7</f>
        <v>88</v>
      </c>
      <c r="E7" s="2" t="s">
        <v>10</v>
      </c>
    </row>
    <row r="8" spans="1:5" x14ac:dyDescent="0.25">
      <c r="A8" s="2" t="s">
        <v>13</v>
      </c>
      <c r="B8" s="3">
        <v>4</v>
      </c>
      <c r="C8" s="4">
        <v>32</v>
      </c>
      <c r="D8" s="4">
        <f>B8*C8</f>
        <v>128</v>
      </c>
      <c r="E8" s="2" t="s">
        <v>14</v>
      </c>
    </row>
    <row r="9" spans="1:5" x14ac:dyDescent="0.25">
      <c r="A9" s="2" t="s">
        <v>15</v>
      </c>
      <c r="B9" s="3">
        <v>1</v>
      </c>
      <c r="C9" s="4">
        <v>180</v>
      </c>
      <c r="D9" s="4">
        <f>B9*C9</f>
        <v>180</v>
      </c>
      <c r="E9" s="2" t="s">
        <v>16</v>
      </c>
    </row>
    <row r="10" spans="1:5" x14ac:dyDescent="0.25">
      <c r="A10" s="2" t="s">
        <v>17</v>
      </c>
      <c r="B10" s="3">
        <v>1</v>
      </c>
      <c r="C10" s="4">
        <v>100</v>
      </c>
      <c r="D10" s="4">
        <f>B10*C10</f>
        <v>100</v>
      </c>
      <c r="E10" s="2" t="s">
        <v>16</v>
      </c>
    </row>
    <row r="11" spans="1:5" x14ac:dyDescent="0.25">
      <c r="A11" s="2" t="s">
        <v>18</v>
      </c>
      <c r="B11" s="3">
        <v>1</v>
      </c>
      <c r="C11" s="4">
        <v>95</v>
      </c>
      <c r="D11" s="4">
        <f>B11*C11</f>
        <v>95</v>
      </c>
      <c r="E11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36" customWidth="1"/>
  </cols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 s="2" t="s">
        <v>23</v>
      </c>
      <c r="B2" s="3">
        <v>3</v>
      </c>
      <c r="C2" s="2" t="s">
        <v>24</v>
      </c>
    </row>
    <row r="3" spans="1:3" x14ac:dyDescent="0.25">
      <c r="A3" s="2" t="s">
        <v>25</v>
      </c>
      <c r="B3" s="3">
        <f>SUM(List!D2:D11)</f>
        <v>1016</v>
      </c>
      <c r="C3" s="2" t="s">
        <v>26</v>
      </c>
    </row>
    <row r="4" spans="1:3" x14ac:dyDescent="0.25">
      <c r="A4" s="2" t="s">
        <v>27</v>
      </c>
      <c r="B4" s="3">
        <f>B3*4</f>
        <v>4064</v>
      </c>
      <c r="C4" s="2" t="s">
        <v>28</v>
      </c>
    </row>
    <row r="5" spans="1:3" x14ac:dyDescent="0.25">
      <c r="A5" s="2" t="s">
        <v>29</v>
      </c>
      <c r="B5" s="3">
        <f>IF(B2=0,0,B3/B2)</f>
        <v>338.6666666666667</v>
      </c>
      <c r="C5" s="2" t="s">
        <v>30</v>
      </c>
    </row>
    <row r="6" spans="1:3" x14ac:dyDescent="0.25">
      <c r="A6" s="2" t="s">
        <v>31</v>
      </c>
      <c r="B6" s="3">
        <f>IF(B2=0,0,B4/B2)</f>
        <v>1354.6666666666667</v>
      </c>
      <c r="C6" s="2" t="s">
        <v>32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