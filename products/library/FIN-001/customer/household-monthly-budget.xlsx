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puts" state="visible" r:id="rId4"/>
    <sheet sheetId="2" name="Expenses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<sst xmlns="http://schemas.openxmlformats.org/spreadsheetml/2006/main" count="47" uniqueCount="44">
  <si>
    <t>Item</t>
  </si>
  <si>
    <t>Amount</t>
  </si>
  <si>
    <t>Note</t>
  </si>
  <si>
    <t>Take-home pay</t>
  </si>
  <si>
    <t>Net pay after deductions for the main earner</t>
  </si>
  <si>
    <t>Second income</t>
  </si>
  <si>
    <t>A Saturday market stall in this sample</t>
  </si>
  <si>
    <t>Other income</t>
  </si>
  <si>
    <t>Grants, maintenance, or rental income</t>
  </si>
  <si>
    <t>Category</t>
  </si>
  <si>
    <t>Rent</t>
  </si>
  <si>
    <t>Sample flat in Johannesburg, excluding electricity</t>
  </si>
  <si>
    <t>Groceries</t>
  </si>
  <si>
    <t>Food and cleaning for two adults</t>
  </si>
  <si>
    <t>Transport</t>
  </si>
  <si>
    <t>Fuel and one minibus taxi commute</t>
  </si>
  <si>
    <t>Electricity</t>
  </si>
  <si>
    <t>Prepaid units for a one-bedroom flat</t>
  </si>
  <si>
    <t>Medical aid</t>
  </si>
  <si>
    <t>Sample contribution, not a quote</t>
  </si>
  <si>
    <t>Mobile data</t>
  </si>
  <si>
    <t>One contract</t>
  </si>
  <si>
    <t>School costs</t>
  </si>
  <si>
    <t>Lunch and stationery, not fees</t>
  </si>
  <si>
    <t>Debt payments</t>
  </si>
  <si>
    <t>Minimums already committed this month</t>
  </si>
  <si>
    <t>Giving</t>
  </si>
  <si>
    <t>Family support and a stokvel contribution</t>
  </si>
  <si>
    <t>Personal</t>
  </si>
  <si>
    <t>Clothing, hair, and small cash</t>
  </si>
  <si>
    <t>Buffer</t>
  </si>
  <si>
    <t>Left unassigned on purpose</t>
  </si>
  <si>
    <t>Metric</t>
  </si>
  <si>
    <t>What it means</t>
  </si>
  <si>
    <t>Total income</t>
  </si>
  <si>
    <t>All net money expected this month</t>
  </si>
  <si>
    <t>Total expenses</t>
  </si>
  <si>
    <t>Every cost line, including the buffer</t>
  </si>
  <si>
    <t>Surplus</t>
  </si>
  <si>
    <t>Positive means the plan fits; negative means it does not</t>
  </si>
  <si>
    <t>Savings rate</t>
  </si>
  <si>
    <t>Surplus divided by income</t>
  </si>
  <si>
    <t>Housing ratio</t>
  </si>
  <si>
    <t>Rent divided by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</si>
</sst>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&quot;#,##0.00"/>
  </numFmts>
  <fonts count="3" x14ac:knownFonts="1">
    <font>
      <color theme="1"/>
      <family val="2"/>
      <scheme val="minor"/>
      <sz val="11"/>
      <name val="Calibri"/>
    </font>
    <font>
      <b/>
      <color rgb="FF0B0B0B"/>
      <name val="Calibri"/>
    </font>
    <font>
      <color rgb="FF0B0B0B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4F3E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4E1D8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164" fontId="2" fillId="0" borderId="1" xfId="0" applyNumberFormat="1" applyFont="1" applyBorder="1" applyAlignment="1">
      <alignment vertical="center"/>
    </xf>
    <xf numFmtId="4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6" customWidth="1"/>
    <col min="3" max="3" width="54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>
        <v>32500</v>
      </c>
      <c r="C2" s="2" t="s">
        <v>4</v>
      </c>
    </row>
    <row r="3" spans="1:3" x14ac:dyDescent="0.25">
      <c r="A3" s="2" t="s">
        <v>5</v>
      </c>
      <c r="B3" s="3">
        <v>2500</v>
      </c>
      <c r="C3" s="2" t="s">
        <v>6</v>
      </c>
    </row>
    <row r="4" spans="1:3" x14ac:dyDescent="0.25">
      <c r="A4" s="2" t="s">
        <v>7</v>
      </c>
      <c r="B4" s="3">
        <v>0</v>
      </c>
      <c r="C4" s="2" t="s">
        <v>8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6" customWidth="1"/>
    <col min="3" max="3" width="54" customWidth="1"/>
  </cols>
  <sheetData>
    <row r="1" spans="1:3" x14ac:dyDescent="0.25">
      <c r="A1" s="1" t="s">
        <v>9</v>
      </c>
      <c r="B1" s="1" t="s">
        <v>1</v>
      </c>
      <c r="C1" s="1" t="s">
        <v>2</v>
      </c>
    </row>
    <row r="2" spans="1:3" x14ac:dyDescent="0.25">
      <c r="A2" s="2" t="s">
        <v>10</v>
      </c>
      <c r="B2" s="3">
        <v>9500</v>
      </c>
      <c r="C2" s="2" t="s">
        <v>11</v>
      </c>
    </row>
    <row r="3" spans="1:3" x14ac:dyDescent="0.25">
      <c r="A3" s="2" t="s">
        <v>12</v>
      </c>
      <c r="B3" s="3">
        <v>4200</v>
      </c>
      <c r="C3" s="2" t="s">
        <v>13</v>
      </c>
    </row>
    <row r="4" spans="1:3" x14ac:dyDescent="0.25">
      <c r="A4" s="2" t="s">
        <v>14</v>
      </c>
      <c r="B4" s="3">
        <v>2800</v>
      </c>
      <c r="C4" s="2" t="s">
        <v>15</v>
      </c>
    </row>
    <row r="5" spans="1:3" x14ac:dyDescent="0.25">
      <c r="A5" s="2" t="s">
        <v>16</v>
      </c>
      <c r="B5" s="3">
        <v>1100</v>
      </c>
      <c r="C5" s="2" t="s">
        <v>17</v>
      </c>
    </row>
    <row r="6" spans="1:3" x14ac:dyDescent="0.25">
      <c r="A6" s="2" t="s">
        <v>18</v>
      </c>
      <c r="B6" s="3">
        <v>3200</v>
      </c>
      <c r="C6" s="2" t="s">
        <v>19</v>
      </c>
    </row>
    <row r="7" spans="1:3" x14ac:dyDescent="0.25">
      <c r="A7" s="2" t="s">
        <v>20</v>
      </c>
      <c r="B7" s="3">
        <v>499</v>
      </c>
      <c r="C7" s="2" t="s">
        <v>21</v>
      </c>
    </row>
    <row r="8" spans="1:3" x14ac:dyDescent="0.25">
      <c r="A8" s="2" t="s">
        <v>22</v>
      </c>
      <c r="B8" s="3">
        <v>1500</v>
      </c>
      <c r="C8" s="2" t="s">
        <v>23</v>
      </c>
    </row>
    <row r="9" spans="1:3" x14ac:dyDescent="0.25">
      <c r="A9" s="2" t="s">
        <v>24</v>
      </c>
      <c r="B9" s="3">
        <v>2000</v>
      </c>
      <c r="C9" s="2" t="s">
        <v>25</v>
      </c>
    </row>
    <row r="10" spans="1:3" x14ac:dyDescent="0.25">
      <c r="A10" s="2" t="s">
        <v>26</v>
      </c>
      <c r="B10" s="3">
        <v>500</v>
      </c>
      <c r="C10" s="2" t="s">
        <v>27</v>
      </c>
    </row>
    <row r="11" spans="1:3" x14ac:dyDescent="0.25">
      <c r="A11" s="2" t="s">
        <v>28</v>
      </c>
      <c r="B11" s="3">
        <v>1800</v>
      </c>
      <c r="C11" s="2" t="s">
        <v>29</v>
      </c>
    </row>
    <row r="12" spans="1:3" x14ac:dyDescent="0.25">
      <c r="A12" s="2" t="s">
        <v>30</v>
      </c>
      <c r="B12" s="3">
        <v>1000</v>
      </c>
      <c r="C12" s="2" t="s">
        <v>31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6" customWidth="1"/>
    <col min="3" max="3" width="54" customWidth="1"/>
  </cols>
  <sheetData>
    <row r="1" spans="1:3" x14ac:dyDescent="0.25">
      <c r="A1" s="1" t="s">
        <v>32</v>
      </c>
      <c r="B1" s="1" t="s">
        <v>1</v>
      </c>
      <c r="C1" s="1" t="s">
        <v>33</v>
      </c>
    </row>
    <row r="2" spans="1:3" x14ac:dyDescent="0.25">
      <c r="A2" s="2" t="s">
        <v>34</v>
      </c>
      <c r="B2" s="4">
        <f>Inputs!B2+Inputs!B3+Inputs!B4</f>
        <v>35000</v>
      </c>
      <c r="C2" s="2" t="s">
        <v>35</v>
      </c>
    </row>
    <row r="3" spans="1:3" x14ac:dyDescent="0.25">
      <c r="A3" s="2" t="s">
        <v>36</v>
      </c>
      <c r="B3" s="4">
        <f>SUM(Expenses!B2:B12)</f>
        <v>28099</v>
      </c>
      <c r="C3" s="2" t="s">
        <v>37</v>
      </c>
    </row>
    <row r="4" spans="1:3" x14ac:dyDescent="0.25">
      <c r="A4" s="2" t="s">
        <v>38</v>
      </c>
      <c r="B4" s="4">
        <f>B2-B3</f>
        <v>6901</v>
      </c>
      <c r="C4" s="2" t="s">
        <v>39</v>
      </c>
    </row>
    <row r="5" spans="1:3" x14ac:dyDescent="0.25">
      <c r="A5" s="2" t="s">
        <v>40</v>
      </c>
      <c r="B5" s="4">
        <f>IF(B2=0,0,B4/B2)</f>
        <v>0.19717142857142858</v>
      </c>
      <c r="C5" s="2" t="s">
        <v>41</v>
      </c>
    </row>
    <row r="6" spans="1:3" x14ac:dyDescent="0.25">
      <c r="A6" s="2" t="s">
        <v>42</v>
      </c>
      <c r="B6" s="4">
        <f>IF(B2=0,0,Expenses!B2/B2)</f>
        <v>0.2714285714285714</v>
      </c>
      <c r="C6" s="2" t="s">
        <v>43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Inputs</vt:lpstr>
      <vt:lpstr>Expenses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MOHAO</dc:creator>
  <dc:title/>
  <dc:subject/>
  <dc:description/>
  <cp:keywords/>
  <cp:category/>
  <cp:lastModifiedBy>Unknown</cp:lastModifiedBy>
  <dcterms:created xsi:type="dcterms:W3CDTF">2026-10-12T00:00:00Z</dcterms:created>
  <dcterms:modified xsi:type="dcterms:W3CDTF">2026-10-12T20:07:19Z</dcterms:modified>
</cp:coreProperties>
</file>